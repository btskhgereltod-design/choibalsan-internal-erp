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DN\Downloads\choibalsan_internal_app\choibalsan_internal_app\mt4\research\"/>
    </mc:Choice>
  </mc:AlternateContent>
  <xr:revisionPtr revIDLastSave="0" documentId="13_ncr:1_{669597BF-3685-4BD6-803B-6CB8B4AD5E9F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Summary" sheetId="1" r:id="rId1"/>
    <sheet name="Monthly" sheetId="2" r:id="rId2"/>
    <sheet name="Yearly" sheetId="3" r:id="rId3"/>
    <sheet name="Rules_And_Limits" sheetId="4" r:id="rId4"/>
  </sheets>
  <definedNames>
    <definedName name="_xlnm._FilterDatabase" localSheetId="1">Monthly!A1:I81</definedName>
    <definedName name="_xlnm._FilterDatabase" localSheetId="3">Rules_And_Limits!A1:B7</definedName>
    <definedName name="_xlnm._FilterDatabase" localSheetId="0">Summary!A1:B16</definedName>
    <definedName name="_xlnm._FilterDatabase" localSheetId="2">Yearly!A1:E8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2" l="1"/>
</calcChain>
</file>

<file path=xl/sharedStrings.xml><?xml version="1.0" encoding="utf-8"?>
<sst xmlns="http://schemas.openxmlformats.org/spreadsheetml/2006/main" count="210" uniqueCount="130">
  <si>
    <t>Metric</t>
  </si>
  <si>
    <t>Value</t>
  </si>
  <si>
    <t>Source report</t>
  </si>
  <si>
    <t>Dual_Trend_Pyramid_Fixed1_Report.htm</t>
  </si>
  <si>
    <t>Period</t>
  </si>
  <si>
    <t>1 Hour (H1)  2020.01.02 06:00 - 2026.08.14 23:00    (2020.01.01 - 2026.08.17)</t>
  </si>
  <si>
    <t>Parameters</t>
  </si>
  <si>
    <t>PyramidSettings="--- Dual trend pyramid ---"; BaseStartLot=0.01; LotMultiplier=1; AutoScaleStartLotByBalance=false; 
ReferenceBalance=10000; MaxOrdersPerSide=5; AddStepPriceDistance=20; BasketStopPriceDistance=10; FinalTakeProfitPriceDistance=20; SideSettings="--- Independent sides ---"; EnableBuy=true; 
EnableSell=true; 
BuyMagicNumber=20260829; SellMagicNumber=20260830; RestartDelaySeconds=0; ExecutionSettings="--- Execution ---"; MaxSpreadPrice=0; SlippagePoints=50; AllowNewOrders=true; 
ShowChartStatus=true;</t>
  </si>
  <si>
    <t>Original initial deposit</t>
  </si>
  <si>
    <t>Original net profit</t>
  </si>
  <si>
    <t>Original ending balance</t>
  </si>
  <si>
    <t>Target capital retained</t>
  </si>
  <si>
    <t>Total simulated withdrawals</t>
  </si>
  <si>
    <t>Months with withdrawal</t>
  </si>
  <si>
    <t>Ending virtual balance</t>
  </si>
  <si>
    <t>Withdrawals + ending virtual balance</t>
  </si>
  <si>
    <t>Lowest virtual month-end balance</t>
  </si>
  <si>
    <t>Largest month-end deficit below target</t>
  </si>
  <si>
    <t>Final partial month withdrawn?</t>
  </si>
  <si>
    <t>No</t>
  </si>
  <si>
    <t>Simulation type</t>
  </si>
  <si>
    <t>Balance-only, month-end realized balance; open floating equity is not deducted</t>
  </si>
  <si>
    <t>Month</t>
  </si>
  <si>
    <t>Complete month</t>
  </si>
  <si>
    <t>Original month-end balance</t>
  </si>
  <si>
    <t>Trading P/L</t>
  </si>
  <si>
    <t>Virtual before withdrawal</t>
  </si>
  <si>
    <t>Withdrawal</t>
  </si>
  <si>
    <t>Virtual after withdrawal</t>
  </si>
  <si>
    <t>Cumulative withdrawal</t>
  </si>
  <si>
    <t>Deficit below 10k</t>
  </si>
  <si>
    <t>2020.01</t>
  </si>
  <si>
    <t>Yes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</si>
  <si>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</si>
  <si>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</si>
  <si>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</si>
  <si>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</si>
  <si>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</si>
  <si>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</si>
  <si>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</si>
  <si>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</si>
  <si>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</si>
  <si>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</si>
  <si>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</si>
  <si>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</si>
  <si>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</si>
  <si>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</si>
  <si>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</si>
  <si>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</si>
  <si>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</si>
  <si>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</si>
  <si>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</si>
  <si>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</si>
  <si>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</si>
  <si>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</si>
  <si>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</si>
  <si>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</si>
  <si>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</si>
  <si>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</si>
  <si>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</si>
  <si>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</si>
  <si>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</si>
  <si>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</si>
  <si>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</si>
  <si>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</si>
  <si>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</si>
  <si>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</si>
  <si>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</si>
  <si>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</si>
  <si>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</si>
  <si>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</si>
  <si>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</si>
  <si>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</si>
  <si>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</si>
  <si>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</si>
  <si>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</si>
  <si>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</si>
  <si>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</si>
  <si>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</si>
  <si>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</si>
  <si>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</si>
  <si>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</si>
  <si>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</si>
  <si>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</si>
  <si>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</si>
  <si>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</si>
  <si>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</si>
  <si>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</si>
  <si>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</si>
  <si>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</si>
  <si>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</si>
  <si>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</si>
  <si>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</si>
  <si>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</si>
  <si>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</si>
  <si>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</si>
  <si>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</si>
  <si>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</si>
  <si>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</si>
  <si>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</si>
  <si>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</si>
  <si>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</si>
  <si>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</si>
  <si>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</si>
  <si>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</si>
  <si>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</si>
  <si>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</si>
  <si>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</si>
  <si>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</si>
  <si>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</si>
  <si>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</si>
  <si>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</si>
  <si>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Year</t>
  </si>
  <si>
    <t>Months in test</t>
  </si>
  <si>
    <t>Withdrawals</t>
  </si>
  <si>
    <t>Withdrawal months</t>
  </si>
  <si>
    <t>Item</t>
  </si>
  <si>
    <t>Detail</t>
  </si>
  <si>
    <t>Withdrawal rule</t>
  </si>
  <si>
    <t>At the end of each completed calendar month, withdraw virtual balance above 10,000 and retain 10,000.</t>
  </si>
  <si>
    <t>Loss recovery</t>
  </si>
  <si>
    <t>If virtual balance is below 10,000, no withdrawal occurs until later trading profits recover the deficit.</t>
  </si>
  <si>
    <t>Final partial month</t>
  </si>
  <si>
    <t>The last test month is not treated as month-end and no withdrawal is made.</t>
  </si>
  <si>
    <t>Equity limitation</t>
  </si>
  <si>
    <t>MT4 HTML reports do not contain floating equity at each calendar month-end. This sheet is balance-only.</t>
  </si>
  <si>
    <t>Execution limitation</t>
  </si>
  <si>
    <t>Withdrawals are post-processed and do not change MT4 free margin or order acceptance during the original test.</t>
  </si>
  <si>
    <t>Use</t>
  </si>
  <si>
    <t>Research simulation only. A live withdrawal must also preserve equity and free-margin buffers.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</si>
</sst>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[Red]\(#,##0.00\);\-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2"/>
      <color rgb="FFFFFFFF"/>
      <name val="Aptos"/>
    </font>
    <font>
      <b/>
      <sz val="11"/>
      <color rgb="FF1F1F1F"/>
      <name val="Aptos"/>
    </font>
    <font>
      <sz val="11"/>
      <color rgb="FF1F1F1F"/>
      <name val="Aptos"/>
    </font>
    <font>
      <b/>
      <sz val="12"/>
      <color rgb="FF006100"/>
      <name val="Aptos"/>
    </font>
    <font>
      <b/>
      <sz val="12"/>
      <color rgb="FF7F6000"/>
      <name val="Aptos"/>
    </font>
    <font>
      <b/>
      <sz val="12"/>
      <color rgb="FF9C0006"/>
      <name val="Aptos"/>
    </font>
    <font>
      <sz val="11"/>
      <color rgb="FF222222"/>
      <name val="Aptos"/>
    </font>
    <font>
      <sz val="10"/>
      <color rgb="FF222222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auto="1"/>
      </right>
      <top style="thin">
        <color rgb="FFD9E2F3"/>
      </top>
      <bottom style="thin">
        <color rgb="FFD9E2F3"/>
      </bottom>
      <diagonal/>
    </border>
    <border>
      <left/>
      <right style="thin">
        <color auto="1"/>
      </right>
      <top style="thin">
        <color rgb="FFD9E2F3"/>
      </top>
      <bottom style="thin">
        <color auto="1"/>
      </bottom>
      <diagonal/>
    </border>
    <border>
      <left/>
      <right style="thin">
        <color auto="1"/>
      </right>
      <top/>
      <bottom style="thin">
        <color rgb="FFD9E2F3"/>
      </bottom>
      <diagonal/>
    </border>
    <border>
      <left/>
      <right style="thin">
        <color auto="1"/>
      </right>
      <top style="thin">
        <color auto="1"/>
      </top>
      <bottom style="thick">
        <color rgb="FF163A5C"/>
      </bottom>
      <diagonal/>
    </border>
    <border>
      <left/>
      <right/>
      <top/>
      <bottom style="thick">
        <color rgb="FF163A5C"/>
      </bottom>
      <diagonal/>
    </border>
    <border>
      <left style="thin">
        <color auto="1"/>
      </left>
      <right/>
      <top style="thick">
        <color rgb="FF163A5C"/>
      </top>
      <bottom style="thin">
        <color rgb="FFD9E2F3"/>
      </bottom>
      <diagonal/>
    </border>
    <border>
      <left/>
      <right style="thin">
        <color auto="1"/>
      </right>
      <top style="thin">
        <color rgb="FFD9E2F3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thick">
        <color rgb="FF163A5C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dotted">
        <color rgb="FFD9E2F3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BF9000"/>
      </left>
      <right style="medium">
        <color rgb="FFBF9000"/>
      </right>
      <top/>
      <bottom style="medium">
        <color rgb="FFBF9000"/>
      </bottom>
      <diagonal/>
    </border>
    <border>
      <left/>
      <right style="thin">
        <color auto="1"/>
      </right>
      <top style="medium">
        <color rgb="FF70AD47"/>
      </top>
      <bottom style="thin">
        <color rgb="FFBF9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2" borderId="6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3" borderId="8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right" vertical="center"/>
    </xf>
    <xf numFmtId="0" fontId="1" fillId="0" borderId="9" xfId="0" applyFont="1" applyBorder="1" applyAlignment="1">
      <alignment vertical="center" wrapText="1"/>
    </xf>
    <xf numFmtId="165" fontId="5" fillId="7" borderId="9" xfId="0" applyNumberFormat="1" applyFont="1" applyFill="1" applyBorder="1" applyAlignment="1">
      <alignment horizontal="right" vertical="center"/>
    </xf>
    <xf numFmtId="165" fontId="5" fillId="7" borderId="5" xfId="0" applyNumberFormat="1" applyFont="1" applyFill="1" applyBorder="1" applyAlignment="1">
      <alignment horizontal="right" vertical="center"/>
    </xf>
    <xf numFmtId="4" fontId="8" fillId="6" borderId="10" xfId="0" applyNumberFormat="1" applyFont="1" applyFill="1" applyBorder="1" applyAlignment="1">
      <alignment horizontal="right" vertical="center"/>
    </xf>
    <xf numFmtId="165" fontId="10" fillId="7" borderId="0" xfId="0" applyNumberFormat="1" applyFont="1" applyFill="1" applyAlignment="1">
      <alignment horizontal="right" vertical="center"/>
    </xf>
    <xf numFmtId="165" fontId="10" fillId="7" borderId="11" xfId="0" applyNumberFormat="1" applyFont="1" applyFill="1" applyBorder="1" applyAlignment="1">
      <alignment horizontal="right" vertical="center"/>
    </xf>
    <xf numFmtId="165" fontId="10" fillId="7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165" fontId="10" fillId="7" borderId="13" xfId="0" applyNumberFormat="1" applyFont="1" applyFill="1" applyBorder="1" applyAlignment="1">
      <alignment horizontal="right" vertical="center"/>
    </xf>
    <xf numFmtId="165" fontId="9" fillId="7" borderId="11" xfId="0" applyNumberFormat="1" applyFont="1" applyFill="1" applyBorder="1" applyAlignment="1">
      <alignment horizontal="right" vertical="center"/>
    </xf>
    <xf numFmtId="165" fontId="9" fillId="7" borderId="0" xfId="0" applyNumberFormat="1" applyFont="1" applyFill="1" applyBorder="1" applyAlignment="1">
      <alignment horizontal="right" vertical="center"/>
    </xf>
    <xf numFmtId="165" fontId="9" fillId="7" borderId="12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4" fillId="3" borderId="11" xfId="0" applyNumberFormat="1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horizontal="left" vertical="center"/>
    </xf>
    <xf numFmtId="0" fontId="4" fillId="3" borderId="12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center" vertical="center"/>
    </xf>
    <xf numFmtId="4" fontId="6" fillId="4" borderId="14" xfId="0" applyNumberFormat="1" applyFont="1" applyFill="1" applyBorder="1" applyAlignment="1">
      <alignment horizontal="right" vertical="center"/>
    </xf>
    <xf numFmtId="4" fontId="7" fillId="5" borderId="15" xfId="0" applyNumberFormat="1" applyFont="1" applyFill="1" applyBorder="1" applyAlignment="1">
      <alignment horizontal="right" vertical="center"/>
    </xf>
    <xf numFmtId="1" fontId="5" fillId="7" borderId="16" xfId="0" applyNumberFormat="1" applyFont="1" applyFill="1" applyBorder="1" applyAlignment="1">
      <alignment horizontal="right" vertical="center"/>
    </xf>
    <xf numFmtId="1" fontId="9" fillId="7" borderId="11" xfId="0" applyNumberFormat="1" applyFont="1" applyFill="1" applyBorder="1" applyAlignment="1">
      <alignment horizontal="center" vertical="center"/>
    </xf>
    <xf numFmtId="1" fontId="9" fillId="7" borderId="0" xfId="0" applyNumberFormat="1" applyFont="1" applyFill="1" applyBorder="1" applyAlignment="1">
      <alignment horizontal="center" vertical="center"/>
    </xf>
    <xf numFmtId="1" fontId="9" fillId="7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65" formatCode="#,##0.00;[Red]\(#,##0.00\);\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Trading P/L vs Withdrawals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Yearly!$A$2:$A$8</c:f>
              <c:numCache>
                <c:formatCode>0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3-4965-A143-B58664D3BAB3}"/>
            </c:ext>
          </c:extLst>
        </c:ser>
        <c:ser>
          <c:idx val="1"/>
          <c:order val="1"/>
          <c:tx>
            <c:strRef>
              <c:f>Yearly!$B$1</c:f>
              <c:strCache>
                <c:ptCount val="1"/>
                <c:pt idx="0">
                  <c:v>Months in 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Yearly!$B$2:$B$8</c:f>
              <c:numCache>
                <c:formatCode>0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3-4965-A143-B58664D3BAB3}"/>
            </c:ext>
          </c:extLst>
        </c:ser>
        <c:ser>
          <c:idx val="2"/>
          <c:order val="2"/>
          <c:tx>
            <c:strRef>
              <c:f>Yearly!$C$1</c:f>
              <c:strCache>
                <c:ptCount val="1"/>
                <c:pt idx="0">
                  <c:v>Trading P/L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Yearly!$C$2:$C$8</c:f>
              <c:numCache>
                <c:formatCode>#,##0.00;[Red]\(#,##0.00\);\-</c:formatCode>
                <c:ptCount val="7"/>
                <c:pt idx="0">
                  <c:v>-38.630000000000003</c:v>
                </c:pt>
                <c:pt idx="1">
                  <c:v>-213.93</c:v>
                </c:pt>
                <c:pt idx="2">
                  <c:v>-57.42</c:v>
                </c:pt>
                <c:pt idx="3">
                  <c:v>308.73</c:v>
                </c:pt>
                <c:pt idx="4">
                  <c:v>33.270000000000003</c:v>
                </c:pt>
                <c:pt idx="5">
                  <c:v>1267.93</c:v>
                </c:pt>
                <c:pt idx="6">
                  <c:v>3318.05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3-4965-A143-B58664D3BAB3}"/>
            </c:ext>
          </c:extLst>
        </c:ser>
        <c:ser>
          <c:idx val="3"/>
          <c:order val="3"/>
          <c:tx>
            <c:strRef>
              <c:f>Yearly!$D$1</c:f>
              <c:strCache>
                <c:ptCount val="1"/>
                <c:pt idx="0">
                  <c:v>Withdrawals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Yearly!$D$2:$D$8</c:f>
              <c:numCache>
                <c:formatCode>#,##0.00;[Red]\(#,##0.00\);\-</c:formatCode>
                <c:ptCount val="7"/>
                <c:pt idx="0">
                  <c:v>41.23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113.27</c:v>
                </c:pt>
                <c:pt idx="5">
                  <c:v>1219.5</c:v>
                </c:pt>
                <c:pt idx="6">
                  <c:v>3526.32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B3-4965-A143-B58664D3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7032528"/>
        <c:axId val="279412944"/>
      </c:barChart>
      <c:catAx>
        <c:axId val="105703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2944"/>
        <c:crosses val="autoZero"/>
        <c:auto val="1"/>
        <c:lblAlgn val="ctr"/>
        <c:lblOffset val="100"/>
        <c:noMultiLvlLbl val="0"/>
      </c:catAx>
      <c:valAx>
        <c:axId val="2794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</xdr:rowOff>
    </xdr:from>
    <xdr:to>
      <xdr:col>14</xdr:col>
      <xdr:colOff>0</xdr:colOff>
      <xdr:row>20</xdr:row>
      <xdr:rowOff>1</xdr:rowOff>
    </xdr:to>
    <xdr:graphicFrame macro="">
      <xdr:nvGraphicFramePr>
        <xdr:cNvPr id="2" name="AnnualPerformance">
          <a:extLst>
            <a:ext uri="{FF2B5EF4-FFF2-40B4-BE49-F238E27FC236}">
              <a16:creationId xmlns:a16="http://schemas.microsoft.com/office/drawing/2014/main" id="{3FD9D70F-0E2F-B0E1-B0B5-3F1C6FC4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A4E22-7C53-4C4B-B97F-AE253ABA5EFA}" name="MonthlyData" displayName="MonthlyData" ref="A1:I82" totalsRowCount="1" headerRowDxfId="16" dataDxfId="17">
  <tableColumns count="9">
    <tableColumn id="1" xr3:uid="{E6308803-DB84-4E99-8F77-E20809F8C7F0}" name="Month" dataDxfId="26" totalsRowDxfId="8"/>
    <tableColumn id="2" xr3:uid="{898252F9-B08A-4694-A071-FF28B0317850}" name="Complete month" dataDxfId="25" totalsRowDxfId="7"/>
    <tableColumn id="3" xr3:uid="{2FB03274-BAE9-4008-8BE0-ED4F3893E223}" name="Original month-end balance" dataDxfId="24" totalsRowDxfId="6"/>
    <tableColumn id="4" xr3:uid="{0EC4E84B-EE7D-479F-AA6C-A4D5D0F204AE}" name="Trading P/L" dataDxfId="23" totalsRowDxfId="5"/>
    <tableColumn id="5" xr3:uid="{9B08BAD2-7163-462E-B158-A2A3D4FE511D}" name="Virtual before withdrawal" dataDxfId="22" totalsRowDxfId="4"/>
    <tableColumn id="6" xr3:uid="{18BD32B1-6585-42C9-ADA7-1C7B72801B38}" name="Withdrawal" dataDxfId="21" totalsRowDxfId="3"/>
    <tableColumn id="7" xr3:uid="{58B24BB6-4DF9-4A3B-8399-DF38B243D6D2}" name="Virtual after withdrawal" dataDxfId="20" totalsRowDxfId="2"/>
    <tableColumn id="8" xr3:uid="{6F274EF5-8934-4609-8518-0AB73CE3A672}" name="Cumulative withdrawal" dataDxfId="19" totalsRowDxfId="1"/>
    <tableColumn id="9" xr3:uid="{1B1C6AAB-BB11-4F89-BC0F-4815760C7A7A}" name="Deficit below 10k" totalsRowFunction="sum" dataDxfId="18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4EA8C5-8368-48F1-A1C9-E20EF0FE6119}" name="YearlyData" displayName="YearlyData" ref="A1:E8" totalsRowShown="0" headerRowDxfId="12" dataDxfId="13">
  <tableColumns count="5">
    <tableColumn id="1" xr3:uid="{85034D54-4B32-4B63-BDA0-2C70BE005FF9}" name="Year" dataDxfId="11"/>
    <tableColumn id="2" xr3:uid="{4C48A7BF-39F2-43FE-8169-8E233519BA60}" name="Months in test" dataDxfId="10"/>
    <tableColumn id="3" xr3:uid="{E5A7FA6C-D428-4BC5-B447-7EE44E48BF83}" name="Trading P/L" dataDxfId="15"/>
    <tableColumn id="4" xr3:uid="{AB005E85-7AEA-4694-B5A2-CBED1F9217A0}" name="Withdrawals" dataDxfId="14"/>
    <tableColumn id="5" xr3:uid="{6938CA7C-8506-4145-951F-0BFAEC41930C}" name="Withdrawal month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EA11D6-786B-42F1-86A7-ADBB98B70982}">
  <we:reference id="wa200010215" version="2.0.0.0" store="en-GB" storeType="OMEX"/>
  <we:alternateReferences>
    <we:reference id="WA200010215" version="2.0.0.0" store="" storeType="OMEX"/>
  </we:alternateReferences>
  <we:properties>
    <we:property name="bps.codex_control.document_id" value="&quot;77dbe76c-e53c-4855-ab8b-22486e2afb4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625" customWidth="1"/>
    <col min="2" max="2" width="83.375" customWidth="1"/>
  </cols>
  <sheetData>
    <row r="1" spans="1:2" ht="26.1" customHeight="1" thickBot="1" x14ac:dyDescent="0.3">
      <c r="A1" s="11" t="s">
        <v>0</v>
      </c>
      <c r="B1" s="6" t="s">
        <v>1</v>
      </c>
    </row>
    <row r="2" spans="1:2" ht="16.5" thickTop="1" x14ac:dyDescent="0.25">
      <c r="A2" s="10" t="s">
        <v>2</v>
      </c>
      <c r="B2" s="5" t="s">
        <v>3</v>
      </c>
    </row>
    <row r="3" spans="1:2" ht="15.75" x14ac:dyDescent="0.25">
      <c r="A3" s="9" t="s">
        <v>4</v>
      </c>
      <c r="B3" s="2" t="s">
        <v>5</v>
      </c>
    </row>
    <row r="4" spans="1:2" ht="105" customHeight="1" x14ac:dyDescent="0.25">
      <c r="A4" s="9" t="s">
        <v>6</v>
      </c>
      <c r="B4" s="13" t="s">
        <v>7</v>
      </c>
    </row>
    <row r="5" spans="1:2" ht="15.75" x14ac:dyDescent="0.25">
      <c r="A5" s="9" t="s">
        <v>8</v>
      </c>
      <c r="B5" s="12">
        <v>10000</v>
      </c>
    </row>
    <row r="6" spans="1:2" ht="15.75" x14ac:dyDescent="0.25">
      <c r="A6" s="9" t="s">
        <v>9</v>
      </c>
      <c r="B6" s="12">
        <v>4618</v>
      </c>
    </row>
    <row r="7" spans="1:2" ht="15.75" x14ac:dyDescent="0.25">
      <c r="A7" s="9" t="s">
        <v>10</v>
      </c>
      <c r="B7" s="12">
        <v>14618</v>
      </c>
    </row>
    <row r="8" spans="1:2" ht="16.5" thickBot="1" x14ac:dyDescent="0.3">
      <c r="A8" s="9" t="s">
        <v>11</v>
      </c>
      <c r="B8" s="14">
        <v>10000</v>
      </c>
    </row>
    <row r="9" spans="1:2" ht="16.5" thickBot="1" x14ac:dyDescent="0.3">
      <c r="A9" s="9" t="s">
        <v>12</v>
      </c>
      <c r="B9" s="30">
        <v>4900.32</v>
      </c>
    </row>
    <row r="10" spans="1:2" ht="15.75" x14ac:dyDescent="0.25">
      <c r="A10" s="9" t="s">
        <v>13</v>
      </c>
      <c r="B10" s="32">
        <v>12</v>
      </c>
    </row>
    <row r="11" spans="1:2" ht="16.5" thickBot="1" x14ac:dyDescent="0.3">
      <c r="A11" s="9" t="s">
        <v>14</v>
      </c>
      <c r="B11" s="31">
        <v>9717.68</v>
      </c>
    </row>
    <row r="12" spans="1:2" ht="15.75" x14ac:dyDescent="0.25">
      <c r="A12" s="9" t="s">
        <v>15</v>
      </c>
      <c r="B12" s="15">
        <v>14618</v>
      </c>
    </row>
    <row r="13" spans="1:2" ht="16.5" thickBot="1" x14ac:dyDescent="0.3">
      <c r="A13" s="9" t="s">
        <v>16</v>
      </c>
      <c r="B13" s="14">
        <v>9294.17</v>
      </c>
    </row>
    <row r="14" spans="1:2" ht="16.5" thickBot="1" x14ac:dyDescent="0.3">
      <c r="A14" s="9" t="s">
        <v>17</v>
      </c>
      <c r="B14" s="16">
        <v>705.83</v>
      </c>
    </row>
    <row r="15" spans="1:2" ht="15.75" x14ac:dyDescent="0.25">
      <c r="A15" s="9" t="s">
        <v>18</v>
      </c>
      <c r="B15" s="5" t="s">
        <v>19</v>
      </c>
    </row>
    <row r="16" spans="1:2" ht="45" customHeight="1" x14ac:dyDescent="0.25">
      <c r="A16" s="9" t="s">
        <v>20</v>
      </c>
      <c r="B16" s="3" t="s">
        <v>21</v>
      </c>
    </row>
    <row r="17" ht="15.75" x14ac:dyDescent="0.25"/>
  </sheetData>
  <autoFilter ref="A1:B16" xr:uid="{00000000-0009-0000-0000-000000000000}"/>
  <pageMargins left="0.7" right="0.7" top="0.75" bottom="0.75" header="0.3" footer="0.3"/>
  <ignoredErrors>
    <ignoredError sqref="A1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showGridLines="0" tabSelected="1" workbookViewId="0">
      <pane ySplit="1" topLeftCell="A64" activePane="bottomLeft" state="frozen"/>
      <selection pane="bottomLeft" activeCell="H89" sqref="H89"/>
    </sheetView>
  </sheetViews>
  <sheetFormatPr defaultRowHeight="15" x14ac:dyDescent="0.25"/>
  <cols>
    <col min="1" max="1" width="13.375" customWidth="1"/>
    <col min="2" max="2" width="17.125" customWidth="1"/>
    <col min="3" max="3" width="26.5" customWidth="1"/>
    <col min="4" max="4" width="15.875" customWidth="1"/>
    <col min="5" max="5" width="24.125" customWidth="1"/>
    <col min="6" max="6" width="15.875" customWidth="1"/>
    <col min="7" max="7" width="22.5" customWidth="1"/>
    <col min="8" max="8" width="22.25" customWidth="1"/>
    <col min="9" max="9" width="17.25" customWidth="1"/>
  </cols>
  <sheetData>
    <row r="1" spans="1:9" ht="39.950000000000003" customHeight="1" thickBot="1" x14ac:dyDescent="0.3">
      <c r="A1" s="7" t="s">
        <v>22</v>
      </c>
      <c r="B1" s="7" t="s">
        <v>23</v>
      </c>
      <c r="C1" s="20" t="s">
        <v>24</v>
      </c>
      <c r="D1" s="20" t="s">
        <v>25</v>
      </c>
      <c r="E1" s="20" t="s">
        <v>26</v>
      </c>
      <c r="F1" s="20" t="s">
        <v>27</v>
      </c>
      <c r="G1" s="20" t="s">
        <v>28</v>
      </c>
      <c r="H1" s="20" t="s">
        <v>29</v>
      </c>
      <c r="I1" s="20" t="s">
        <v>30</v>
      </c>
    </row>
    <row r="2" spans="1:9" ht="16.5" thickTop="1" x14ac:dyDescent="0.25">
      <c r="A2" s="4" t="s">
        <v>31</v>
      </c>
      <c r="B2" s="4" t="s">
        <v>32</v>
      </c>
      <c r="C2" s="18">
        <v>9951.83</v>
      </c>
      <c r="D2" s="18">
        <v>-48.17</v>
      </c>
      <c r="E2" s="18">
        <v>9951.83</v>
      </c>
      <c r="F2" s="18">
        <v>0</v>
      </c>
      <c r="G2" s="18">
        <v>9951.83</v>
      </c>
      <c r="H2" s="18">
        <v>0</v>
      </c>
      <c r="I2" s="18">
        <v>48.17</v>
      </c>
    </row>
    <row r="3" spans="1:9" ht="15.75" x14ac:dyDescent="0.25">
      <c r="A3" s="4" t="s">
        <v>33</v>
      </c>
      <c r="B3" s="4" t="s">
        <v>32</v>
      </c>
      <c r="C3" s="19">
        <v>9997.58</v>
      </c>
      <c r="D3" s="19">
        <v>45.75</v>
      </c>
      <c r="E3" s="19">
        <v>9997.58</v>
      </c>
      <c r="F3" s="19">
        <v>0</v>
      </c>
      <c r="G3" s="19">
        <v>9997.58</v>
      </c>
      <c r="H3" s="19">
        <v>0</v>
      </c>
      <c r="I3" s="19">
        <v>2.42</v>
      </c>
    </row>
    <row r="4" spans="1:9" ht="15.75" x14ac:dyDescent="0.25">
      <c r="A4" s="4" t="s">
        <v>34</v>
      </c>
      <c r="B4" s="4" t="s">
        <v>32</v>
      </c>
      <c r="C4" s="19">
        <v>10041.23</v>
      </c>
      <c r="D4" s="19">
        <v>43.65</v>
      </c>
      <c r="E4" s="19">
        <v>10041.23</v>
      </c>
      <c r="F4" s="19">
        <v>41.23</v>
      </c>
      <c r="G4" s="19">
        <v>10000</v>
      </c>
      <c r="H4" s="19">
        <v>41.23</v>
      </c>
      <c r="I4" s="19">
        <v>0</v>
      </c>
    </row>
    <row r="5" spans="1:9" ht="15.75" x14ac:dyDescent="0.25">
      <c r="A5" s="4" t="s">
        <v>35</v>
      </c>
      <c r="B5" s="4" t="s">
        <v>32</v>
      </c>
      <c r="C5" s="19">
        <v>9928</v>
      </c>
      <c r="D5" s="19">
        <v>-113.23</v>
      </c>
      <c r="E5" s="19">
        <v>9886.77</v>
      </c>
      <c r="F5" s="19">
        <v>0</v>
      </c>
      <c r="G5" s="19">
        <v>9886.77</v>
      </c>
      <c r="H5" s="19">
        <v>41.23</v>
      </c>
      <c r="I5" s="19">
        <v>113.23</v>
      </c>
    </row>
    <row r="6" spans="1:9" ht="15.75" x14ac:dyDescent="0.25">
      <c r="A6" s="4" t="s">
        <v>36</v>
      </c>
      <c r="B6" s="4" t="s">
        <v>32</v>
      </c>
      <c r="C6" s="19">
        <v>9876.14</v>
      </c>
      <c r="D6" s="19">
        <v>-51.86</v>
      </c>
      <c r="E6" s="19">
        <v>9834.91</v>
      </c>
      <c r="F6" s="19">
        <v>0</v>
      </c>
      <c r="G6" s="19">
        <v>9834.91</v>
      </c>
      <c r="H6" s="19">
        <v>41.23</v>
      </c>
      <c r="I6" s="19">
        <v>165.09</v>
      </c>
    </row>
    <row r="7" spans="1:9" ht="15.75" x14ac:dyDescent="0.25">
      <c r="A7" s="4" t="s">
        <v>37</v>
      </c>
      <c r="B7" s="4" t="s">
        <v>32</v>
      </c>
      <c r="C7" s="19">
        <v>9832.74</v>
      </c>
      <c r="D7" s="19">
        <v>-43.4</v>
      </c>
      <c r="E7" s="19">
        <v>9791.51</v>
      </c>
      <c r="F7" s="19">
        <v>0</v>
      </c>
      <c r="G7" s="19">
        <v>9791.51</v>
      </c>
      <c r="H7" s="19">
        <v>41.23</v>
      </c>
      <c r="I7" s="19">
        <v>208.49</v>
      </c>
    </row>
    <row r="8" spans="1:9" ht="15.75" x14ac:dyDescent="0.25">
      <c r="A8" s="4" t="s">
        <v>38</v>
      </c>
      <c r="B8" s="4" t="s">
        <v>32</v>
      </c>
      <c r="C8" s="19">
        <v>9987.09</v>
      </c>
      <c r="D8" s="19">
        <v>154.35</v>
      </c>
      <c r="E8" s="19">
        <v>9945.86</v>
      </c>
      <c r="F8" s="19">
        <v>0</v>
      </c>
      <c r="G8" s="19">
        <v>9945.86</v>
      </c>
      <c r="H8" s="19">
        <v>41.23</v>
      </c>
      <c r="I8" s="19">
        <v>54.14</v>
      </c>
    </row>
    <row r="9" spans="1:9" ht="15.75" x14ac:dyDescent="0.25">
      <c r="A9" s="4" t="s">
        <v>39</v>
      </c>
      <c r="B9" s="4" t="s">
        <v>32</v>
      </c>
      <c r="C9" s="19">
        <v>10020.120000000001</v>
      </c>
      <c r="D9" s="19">
        <v>33.03</v>
      </c>
      <c r="E9" s="19">
        <v>9978.89</v>
      </c>
      <c r="F9" s="19">
        <v>0</v>
      </c>
      <c r="G9" s="19">
        <v>9978.89</v>
      </c>
      <c r="H9" s="19">
        <v>41.23</v>
      </c>
      <c r="I9" s="19">
        <v>21.11</v>
      </c>
    </row>
    <row r="10" spans="1:9" ht="15.75" x14ac:dyDescent="0.25">
      <c r="A10" s="4" t="s">
        <v>40</v>
      </c>
      <c r="B10" s="4" t="s">
        <v>32</v>
      </c>
      <c r="C10" s="19">
        <v>9913.0499999999993</v>
      </c>
      <c r="D10" s="19">
        <v>-107.07</v>
      </c>
      <c r="E10" s="19">
        <v>9871.82</v>
      </c>
      <c r="F10" s="19">
        <v>0</v>
      </c>
      <c r="G10" s="19">
        <v>9871.82</v>
      </c>
      <c r="H10" s="19">
        <v>41.23</v>
      </c>
      <c r="I10" s="19">
        <v>128.18</v>
      </c>
    </row>
    <row r="11" spans="1:9" ht="15.75" x14ac:dyDescent="0.25">
      <c r="A11" s="4" t="s">
        <v>41</v>
      </c>
      <c r="B11" s="4" t="s">
        <v>32</v>
      </c>
      <c r="C11" s="19">
        <v>9844.57</v>
      </c>
      <c r="D11" s="19">
        <v>-68.48</v>
      </c>
      <c r="E11" s="19">
        <v>9803.34</v>
      </c>
      <c r="F11" s="19">
        <v>0</v>
      </c>
      <c r="G11" s="19">
        <v>9803.34</v>
      </c>
      <c r="H11" s="19">
        <v>41.23</v>
      </c>
      <c r="I11" s="19">
        <v>196.66</v>
      </c>
    </row>
    <row r="12" spans="1:9" ht="15.75" x14ac:dyDescent="0.25">
      <c r="A12" s="4" t="s">
        <v>42</v>
      </c>
      <c r="B12" s="4" t="s">
        <v>32</v>
      </c>
      <c r="C12" s="19">
        <v>9968.92</v>
      </c>
      <c r="D12" s="19">
        <v>124.35</v>
      </c>
      <c r="E12" s="19">
        <v>9927.69</v>
      </c>
      <c r="F12" s="19">
        <v>0</v>
      </c>
      <c r="G12" s="19">
        <v>9927.69</v>
      </c>
      <c r="H12" s="19">
        <v>41.23</v>
      </c>
      <c r="I12" s="19">
        <v>72.31</v>
      </c>
    </row>
    <row r="13" spans="1:9" ht="15.75" x14ac:dyDescent="0.25">
      <c r="A13" s="4" t="s">
        <v>43</v>
      </c>
      <c r="B13" s="4" t="s">
        <v>32</v>
      </c>
      <c r="C13" s="19">
        <v>9961.3700000000008</v>
      </c>
      <c r="D13" s="19">
        <v>-7.55</v>
      </c>
      <c r="E13" s="19">
        <v>9920.14</v>
      </c>
      <c r="F13" s="19">
        <v>0</v>
      </c>
      <c r="G13" s="19">
        <v>9920.14</v>
      </c>
      <c r="H13" s="19">
        <v>41.23</v>
      </c>
      <c r="I13" s="19">
        <v>79.86</v>
      </c>
    </row>
    <row r="14" spans="1:9" ht="15.75" x14ac:dyDescent="0.25">
      <c r="A14" s="4" t="s">
        <v>44</v>
      </c>
      <c r="B14" s="4" t="s">
        <v>32</v>
      </c>
      <c r="C14" s="19">
        <v>9930.49</v>
      </c>
      <c r="D14" s="19">
        <v>-30.88</v>
      </c>
      <c r="E14" s="19">
        <v>9889.26</v>
      </c>
      <c r="F14" s="19">
        <v>0</v>
      </c>
      <c r="G14" s="19">
        <v>9889.26</v>
      </c>
      <c r="H14" s="19">
        <v>41.23</v>
      </c>
      <c r="I14" s="19">
        <v>110.74</v>
      </c>
    </row>
    <row r="15" spans="1:9" ht="15.75" x14ac:dyDescent="0.25">
      <c r="A15" s="4" t="s">
        <v>45</v>
      </c>
      <c r="B15" s="4" t="s">
        <v>32</v>
      </c>
      <c r="C15" s="19">
        <v>10004.34</v>
      </c>
      <c r="D15" s="19">
        <v>73.849999999999994</v>
      </c>
      <c r="E15" s="19">
        <v>9963.11</v>
      </c>
      <c r="F15" s="19">
        <v>0</v>
      </c>
      <c r="G15" s="19">
        <v>9963.11</v>
      </c>
      <c r="H15" s="19">
        <v>41.23</v>
      </c>
      <c r="I15" s="19">
        <v>36.89</v>
      </c>
    </row>
    <row r="16" spans="1:9" ht="15.75" x14ac:dyDescent="0.25">
      <c r="A16" s="4" t="s">
        <v>46</v>
      </c>
      <c r="B16" s="4" t="s">
        <v>32</v>
      </c>
      <c r="C16" s="19">
        <v>9868.2000000000007</v>
      </c>
      <c r="D16" s="19">
        <v>-136.13999999999999</v>
      </c>
      <c r="E16" s="19">
        <v>9826.9699999999993</v>
      </c>
      <c r="F16" s="19">
        <v>0</v>
      </c>
      <c r="G16" s="19">
        <v>9826.9699999999993</v>
      </c>
      <c r="H16" s="19">
        <v>41.23</v>
      </c>
      <c r="I16" s="19">
        <v>173.03</v>
      </c>
    </row>
    <row r="17" spans="1:9" ht="15.75" x14ac:dyDescent="0.25">
      <c r="A17" s="4" t="s">
        <v>47</v>
      </c>
      <c r="B17" s="4" t="s">
        <v>32</v>
      </c>
      <c r="C17" s="19">
        <v>9804.5400000000009</v>
      </c>
      <c r="D17" s="19">
        <v>-63.66</v>
      </c>
      <c r="E17" s="19">
        <v>9763.31</v>
      </c>
      <c r="F17" s="19">
        <v>0</v>
      </c>
      <c r="G17" s="19">
        <v>9763.31</v>
      </c>
      <c r="H17" s="19">
        <v>41.23</v>
      </c>
      <c r="I17" s="19">
        <v>236.69</v>
      </c>
    </row>
    <row r="18" spans="1:9" ht="15.75" x14ac:dyDescent="0.25">
      <c r="A18" s="4" t="s">
        <v>48</v>
      </c>
      <c r="B18" s="4" t="s">
        <v>32</v>
      </c>
      <c r="C18" s="19">
        <v>9743.31</v>
      </c>
      <c r="D18" s="19">
        <v>-61.23</v>
      </c>
      <c r="E18" s="19">
        <v>9702.08</v>
      </c>
      <c r="F18" s="19">
        <v>0</v>
      </c>
      <c r="G18" s="19">
        <v>9702.08</v>
      </c>
      <c r="H18" s="19">
        <v>41.23</v>
      </c>
      <c r="I18" s="19">
        <v>297.92</v>
      </c>
    </row>
    <row r="19" spans="1:9" ht="15.75" x14ac:dyDescent="0.25">
      <c r="A19" s="4" t="s">
        <v>49</v>
      </c>
      <c r="B19" s="4" t="s">
        <v>32</v>
      </c>
      <c r="C19" s="19">
        <v>9816.3799999999992</v>
      </c>
      <c r="D19" s="19">
        <v>73.069999999999993</v>
      </c>
      <c r="E19" s="19">
        <v>9775.15</v>
      </c>
      <c r="F19" s="19">
        <v>0</v>
      </c>
      <c r="G19" s="19">
        <v>9775.15</v>
      </c>
      <c r="H19" s="19">
        <v>41.23</v>
      </c>
      <c r="I19" s="19">
        <v>224.85</v>
      </c>
    </row>
    <row r="20" spans="1:9" ht="15.75" x14ac:dyDescent="0.25">
      <c r="A20" s="4" t="s">
        <v>50</v>
      </c>
      <c r="B20" s="4" t="s">
        <v>32</v>
      </c>
      <c r="C20" s="19">
        <v>9734.11</v>
      </c>
      <c r="D20" s="19">
        <v>-82.27</v>
      </c>
      <c r="E20" s="19">
        <v>9692.8799999999992</v>
      </c>
      <c r="F20" s="19">
        <v>0</v>
      </c>
      <c r="G20" s="19">
        <v>9692.8799999999992</v>
      </c>
      <c r="H20" s="19">
        <v>41.23</v>
      </c>
      <c r="I20" s="19">
        <v>307.12</v>
      </c>
    </row>
    <row r="21" spans="1:9" ht="15.75" x14ac:dyDescent="0.25">
      <c r="A21" s="4" t="s">
        <v>51</v>
      </c>
      <c r="B21" s="4" t="s">
        <v>32</v>
      </c>
      <c r="C21" s="19">
        <v>9934.2099999999991</v>
      </c>
      <c r="D21" s="19">
        <v>200.1</v>
      </c>
      <c r="E21" s="19">
        <v>9892.98</v>
      </c>
      <c r="F21" s="19">
        <v>0</v>
      </c>
      <c r="G21" s="19">
        <v>9892.98</v>
      </c>
      <c r="H21" s="19">
        <v>41.23</v>
      </c>
      <c r="I21" s="19">
        <v>107.02</v>
      </c>
    </row>
    <row r="22" spans="1:9" ht="15.75" x14ac:dyDescent="0.25">
      <c r="A22" s="4" t="s">
        <v>52</v>
      </c>
      <c r="B22" s="4" t="s">
        <v>32</v>
      </c>
      <c r="C22" s="19">
        <v>9880.93</v>
      </c>
      <c r="D22" s="19">
        <v>-53.28</v>
      </c>
      <c r="E22" s="19">
        <v>9839.7000000000007</v>
      </c>
      <c r="F22" s="19">
        <v>0</v>
      </c>
      <c r="G22" s="19">
        <v>9839.7000000000007</v>
      </c>
      <c r="H22" s="19">
        <v>41.23</v>
      </c>
      <c r="I22" s="19">
        <v>160.30000000000001</v>
      </c>
    </row>
    <row r="23" spans="1:9" ht="15.75" x14ac:dyDescent="0.25">
      <c r="A23" s="4" t="s">
        <v>53</v>
      </c>
      <c r="B23" s="4" t="s">
        <v>32</v>
      </c>
      <c r="C23" s="19">
        <v>9764.68</v>
      </c>
      <c r="D23" s="19">
        <v>-116.25</v>
      </c>
      <c r="E23" s="19">
        <v>9723.4500000000007</v>
      </c>
      <c r="F23" s="19">
        <v>0</v>
      </c>
      <c r="G23" s="19">
        <v>9723.4500000000007</v>
      </c>
      <c r="H23" s="19">
        <v>41.23</v>
      </c>
      <c r="I23" s="19">
        <v>276.55</v>
      </c>
    </row>
    <row r="24" spans="1:9" ht="15.75" x14ac:dyDescent="0.25">
      <c r="A24" s="4" t="s">
        <v>54</v>
      </c>
      <c r="B24" s="4" t="s">
        <v>32</v>
      </c>
      <c r="C24" s="19">
        <v>9844.7999999999993</v>
      </c>
      <c r="D24" s="19">
        <v>80.12</v>
      </c>
      <c r="E24" s="19">
        <v>9803.57</v>
      </c>
      <c r="F24" s="19">
        <v>0</v>
      </c>
      <c r="G24" s="19">
        <v>9803.57</v>
      </c>
      <c r="H24" s="19">
        <v>41.23</v>
      </c>
      <c r="I24" s="19">
        <v>196.43</v>
      </c>
    </row>
    <row r="25" spans="1:9" ht="15.75" x14ac:dyDescent="0.25">
      <c r="A25" s="4" t="s">
        <v>55</v>
      </c>
      <c r="B25" s="4" t="s">
        <v>32</v>
      </c>
      <c r="C25" s="19">
        <v>9747.44</v>
      </c>
      <c r="D25" s="19">
        <v>-97.36</v>
      </c>
      <c r="E25" s="19">
        <v>9706.2099999999991</v>
      </c>
      <c r="F25" s="19">
        <v>0</v>
      </c>
      <c r="G25" s="19">
        <v>9706.2099999999991</v>
      </c>
      <c r="H25" s="19">
        <v>41.23</v>
      </c>
      <c r="I25" s="19">
        <v>293.79000000000002</v>
      </c>
    </row>
    <row r="26" spans="1:9" ht="15.75" x14ac:dyDescent="0.25">
      <c r="A26" s="4" t="s">
        <v>56</v>
      </c>
      <c r="B26" s="4" t="s">
        <v>32</v>
      </c>
      <c r="C26" s="19">
        <v>9750.26</v>
      </c>
      <c r="D26" s="19">
        <v>2.82</v>
      </c>
      <c r="E26" s="19">
        <v>9709.0300000000007</v>
      </c>
      <c r="F26" s="19">
        <v>0</v>
      </c>
      <c r="G26" s="19">
        <v>9709.0300000000007</v>
      </c>
      <c r="H26" s="19">
        <v>41.23</v>
      </c>
      <c r="I26" s="19">
        <v>290.97000000000003</v>
      </c>
    </row>
    <row r="27" spans="1:9" ht="15.75" x14ac:dyDescent="0.25">
      <c r="A27" s="4" t="s">
        <v>57</v>
      </c>
      <c r="B27" s="4" t="s">
        <v>32</v>
      </c>
      <c r="C27" s="19">
        <v>9686.16</v>
      </c>
      <c r="D27" s="19">
        <v>-64.099999999999994</v>
      </c>
      <c r="E27" s="19">
        <v>9644.93</v>
      </c>
      <c r="F27" s="19">
        <v>0</v>
      </c>
      <c r="G27" s="19">
        <v>9644.93</v>
      </c>
      <c r="H27" s="19">
        <v>41.23</v>
      </c>
      <c r="I27" s="19">
        <v>355.07</v>
      </c>
    </row>
    <row r="28" spans="1:9" ht="15.75" x14ac:dyDescent="0.25">
      <c r="A28" s="4" t="s">
        <v>58</v>
      </c>
      <c r="B28" s="4" t="s">
        <v>32</v>
      </c>
      <c r="C28" s="19">
        <v>9819.06</v>
      </c>
      <c r="D28" s="19">
        <v>132.9</v>
      </c>
      <c r="E28" s="19">
        <v>9777.83</v>
      </c>
      <c r="F28" s="19">
        <v>0</v>
      </c>
      <c r="G28" s="19">
        <v>9777.83</v>
      </c>
      <c r="H28" s="19">
        <v>41.23</v>
      </c>
      <c r="I28" s="19">
        <v>222.17</v>
      </c>
    </row>
    <row r="29" spans="1:9" ht="15.75" x14ac:dyDescent="0.25">
      <c r="A29" s="4" t="s">
        <v>59</v>
      </c>
      <c r="B29" s="4" t="s">
        <v>32</v>
      </c>
      <c r="C29" s="19">
        <v>9824.8799999999992</v>
      </c>
      <c r="D29" s="19">
        <v>5.82</v>
      </c>
      <c r="E29" s="19">
        <v>9783.65</v>
      </c>
      <c r="F29" s="19">
        <v>0</v>
      </c>
      <c r="G29" s="19">
        <v>9783.65</v>
      </c>
      <c r="H29" s="19">
        <v>41.23</v>
      </c>
      <c r="I29" s="19">
        <v>216.35</v>
      </c>
    </row>
    <row r="30" spans="1:9" ht="15.75" x14ac:dyDescent="0.25">
      <c r="A30" s="4" t="s">
        <v>60</v>
      </c>
      <c r="B30" s="4" t="s">
        <v>32</v>
      </c>
      <c r="C30" s="19">
        <v>9835.43</v>
      </c>
      <c r="D30" s="19">
        <v>10.55</v>
      </c>
      <c r="E30" s="19">
        <v>9794.2000000000007</v>
      </c>
      <c r="F30" s="19">
        <v>0</v>
      </c>
      <c r="G30" s="19">
        <v>9794.2000000000007</v>
      </c>
      <c r="H30" s="19">
        <v>41.23</v>
      </c>
      <c r="I30" s="19">
        <v>205.8</v>
      </c>
    </row>
    <row r="31" spans="1:9" ht="15.75" x14ac:dyDescent="0.25">
      <c r="A31" s="4" t="s">
        <v>61</v>
      </c>
      <c r="B31" s="4" t="s">
        <v>32</v>
      </c>
      <c r="C31" s="19">
        <v>9746.2999999999993</v>
      </c>
      <c r="D31" s="19">
        <v>-89.13</v>
      </c>
      <c r="E31" s="19">
        <v>9705.07</v>
      </c>
      <c r="F31" s="19">
        <v>0</v>
      </c>
      <c r="G31" s="19">
        <v>9705.07</v>
      </c>
      <c r="H31" s="19">
        <v>41.23</v>
      </c>
      <c r="I31" s="19">
        <v>294.93</v>
      </c>
    </row>
    <row r="32" spans="1:9" ht="15.75" x14ac:dyDescent="0.25">
      <c r="A32" s="4" t="s">
        <v>62</v>
      </c>
      <c r="B32" s="4" t="s">
        <v>32</v>
      </c>
      <c r="C32" s="19">
        <v>9728.31</v>
      </c>
      <c r="D32" s="19">
        <v>-17.989999999999998</v>
      </c>
      <c r="E32" s="19">
        <v>9687.08</v>
      </c>
      <c r="F32" s="19">
        <v>0</v>
      </c>
      <c r="G32" s="19">
        <v>9687.08</v>
      </c>
      <c r="H32" s="19">
        <v>41.23</v>
      </c>
      <c r="I32" s="19">
        <v>312.92</v>
      </c>
    </row>
    <row r="33" spans="1:9" ht="15.75" x14ac:dyDescent="0.25">
      <c r="A33" s="4" t="s">
        <v>63</v>
      </c>
      <c r="B33" s="4" t="s">
        <v>32</v>
      </c>
      <c r="C33" s="19">
        <v>9718.01</v>
      </c>
      <c r="D33" s="19">
        <v>-10.3</v>
      </c>
      <c r="E33" s="19">
        <v>9676.7800000000007</v>
      </c>
      <c r="F33" s="19">
        <v>0</v>
      </c>
      <c r="G33" s="19">
        <v>9676.7800000000007</v>
      </c>
      <c r="H33" s="19">
        <v>41.23</v>
      </c>
      <c r="I33" s="19">
        <v>323.22000000000003</v>
      </c>
    </row>
    <row r="34" spans="1:9" ht="15.75" x14ac:dyDescent="0.25">
      <c r="A34" s="4" t="s">
        <v>64</v>
      </c>
      <c r="B34" s="4" t="s">
        <v>32</v>
      </c>
      <c r="C34" s="19">
        <v>9652.58</v>
      </c>
      <c r="D34" s="19">
        <v>-65.430000000000007</v>
      </c>
      <c r="E34" s="19">
        <v>9611.35</v>
      </c>
      <c r="F34" s="19">
        <v>0</v>
      </c>
      <c r="G34" s="19">
        <v>9611.35</v>
      </c>
      <c r="H34" s="19">
        <v>41.23</v>
      </c>
      <c r="I34" s="19">
        <v>388.65</v>
      </c>
    </row>
    <row r="35" spans="1:9" ht="15.75" x14ac:dyDescent="0.25">
      <c r="A35" s="4" t="s">
        <v>65</v>
      </c>
      <c r="B35" s="4" t="s">
        <v>32</v>
      </c>
      <c r="C35" s="19">
        <v>9577.39</v>
      </c>
      <c r="D35" s="19">
        <v>-75.19</v>
      </c>
      <c r="E35" s="19">
        <v>9536.16</v>
      </c>
      <c r="F35" s="19">
        <v>0</v>
      </c>
      <c r="G35" s="19">
        <v>9536.16</v>
      </c>
      <c r="H35" s="19">
        <v>41.23</v>
      </c>
      <c r="I35" s="19">
        <v>463.84</v>
      </c>
    </row>
    <row r="36" spans="1:9" ht="15.75" x14ac:dyDescent="0.25">
      <c r="A36" s="4" t="s">
        <v>66</v>
      </c>
      <c r="B36" s="4" t="s">
        <v>32</v>
      </c>
      <c r="C36" s="19">
        <v>9752.77</v>
      </c>
      <c r="D36" s="19">
        <v>175.38</v>
      </c>
      <c r="E36" s="19">
        <v>9711.5400000000009</v>
      </c>
      <c r="F36" s="19">
        <v>0</v>
      </c>
      <c r="G36" s="19">
        <v>9711.5400000000009</v>
      </c>
      <c r="H36" s="19">
        <v>41.23</v>
      </c>
      <c r="I36" s="19">
        <v>288.45999999999998</v>
      </c>
    </row>
    <row r="37" spans="1:9" ht="15.75" x14ac:dyDescent="0.25">
      <c r="A37" s="4" t="s">
        <v>67</v>
      </c>
      <c r="B37" s="4" t="s">
        <v>32</v>
      </c>
      <c r="C37" s="19">
        <v>9690.02</v>
      </c>
      <c r="D37" s="19">
        <v>-62.75</v>
      </c>
      <c r="E37" s="19">
        <v>9648.7900000000009</v>
      </c>
      <c r="F37" s="19">
        <v>0</v>
      </c>
      <c r="G37" s="19">
        <v>9648.7900000000009</v>
      </c>
      <c r="H37" s="19">
        <v>41.23</v>
      </c>
      <c r="I37" s="19">
        <v>351.21</v>
      </c>
    </row>
    <row r="38" spans="1:9" ht="15.75" x14ac:dyDescent="0.25">
      <c r="A38" s="4" t="s">
        <v>68</v>
      </c>
      <c r="B38" s="4" t="s">
        <v>32</v>
      </c>
      <c r="C38" s="19">
        <v>9566.92</v>
      </c>
      <c r="D38" s="19">
        <v>-123.1</v>
      </c>
      <c r="E38" s="19">
        <v>9525.69</v>
      </c>
      <c r="F38" s="19">
        <v>0</v>
      </c>
      <c r="G38" s="19">
        <v>9525.69</v>
      </c>
      <c r="H38" s="19">
        <v>41.23</v>
      </c>
      <c r="I38" s="19">
        <v>474.31</v>
      </c>
    </row>
    <row r="39" spans="1:9" ht="15.75" x14ac:dyDescent="0.25">
      <c r="A39" s="4" t="s">
        <v>69</v>
      </c>
      <c r="B39" s="4" t="s">
        <v>32</v>
      </c>
      <c r="C39" s="19">
        <v>9597.5499999999993</v>
      </c>
      <c r="D39" s="19">
        <v>30.63</v>
      </c>
      <c r="E39" s="19">
        <v>9556.32</v>
      </c>
      <c r="F39" s="19">
        <v>0</v>
      </c>
      <c r="G39" s="19">
        <v>9556.32</v>
      </c>
      <c r="H39" s="19">
        <v>41.23</v>
      </c>
      <c r="I39" s="19">
        <v>443.68</v>
      </c>
    </row>
    <row r="40" spans="1:9" ht="15.75" x14ac:dyDescent="0.25">
      <c r="A40" s="4" t="s">
        <v>70</v>
      </c>
      <c r="B40" s="4" t="s">
        <v>32</v>
      </c>
      <c r="C40" s="19">
        <v>9677.91</v>
      </c>
      <c r="D40" s="19">
        <v>80.36</v>
      </c>
      <c r="E40" s="19">
        <v>9636.68</v>
      </c>
      <c r="F40" s="19">
        <v>0</v>
      </c>
      <c r="G40" s="19">
        <v>9636.68</v>
      </c>
      <c r="H40" s="19">
        <v>41.23</v>
      </c>
      <c r="I40" s="19">
        <v>363.32</v>
      </c>
    </row>
    <row r="41" spans="1:9" ht="15.75" x14ac:dyDescent="0.25">
      <c r="A41" s="4" t="s">
        <v>71</v>
      </c>
      <c r="B41" s="4" t="s">
        <v>32</v>
      </c>
      <c r="C41" s="19">
        <v>9561.18</v>
      </c>
      <c r="D41" s="19">
        <v>-116.73</v>
      </c>
      <c r="E41" s="19">
        <v>9519.9500000000007</v>
      </c>
      <c r="F41" s="19">
        <v>0</v>
      </c>
      <c r="G41" s="19">
        <v>9519.9500000000007</v>
      </c>
      <c r="H41" s="19">
        <v>41.23</v>
      </c>
      <c r="I41" s="19">
        <v>480.05</v>
      </c>
    </row>
    <row r="42" spans="1:9" ht="15.75" x14ac:dyDescent="0.25">
      <c r="A42" s="4" t="s">
        <v>72</v>
      </c>
      <c r="B42" s="4" t="s">
        <v>32</v>
      </c>
      <c r="C42" s="19">
        <v>9527.2199999999993</v>
      </c>
      <c r="D42" s="19">
        <v>-33.96</v>
      </c>
      <c r="E42" s="19">
        <v>9485.99</v>
      </c>
      <c r="F42" s="19">
        <v>0</v>
      </c>
      <c r="G42" s="19">
        <v>9485.99</v>
      </c>
      <c r="H42" s="19">
        <v>41.23</v>
      </c>
      <c r="I42" s="19">
        <v>514.01</v>
      </c>
    </row>
    <row r="43" spans="1:9" ht="15.75" x14ac:dyDescent="0.25">
      <c r="A43" s="4" t="s">
        <v>73</v>
      </c>
      <c r="B43" s="4" t="s">
        <v>32</v>
      </c>
      <c r="C43" s="19">
        <v>9435.7900000000009</v>
      </c>
      <c r="D43" s="19">
        <v>-91.43</v>
      </c>
      <c r="E43" s="19">
        <v>9394.56</v>
      </c>
      <c r="F43" s="19">
        <v>0</v>
      </c>
      <c r="G43" s="19">
        <v>9394.56</v>
      </c>
      <c r="H43" s="19">
        <v>41.23</v>
      </c>
      <c r="I43" s="19">
        <v>605.44000000000005</v>
      </c>
    </row>
    <row r="44" spans="1:9" ht="15.75" x14ac:dyDescent="0.25">
      <c r="A44" s="4" t="s">
        <v>74</v>
      </c>
      <c r="B44" s="4" t="s">
        <v>32</v>
      </c>
      <c r="C44" s="19">
        <v>9348.83</v>
      </c>
      <c r="D44" s="19">
        <v>-86.96</v>
      </c>
      <c r="E44" s="19">
        <v>9307.6</v>
      </c>
      <c r="F44" s="19">
        <v>0</v>
      </c>
      <c r="G44" s="19">
        <v>9307.6</v>
      </c>
      <c r="H44" s="19">
        <v>41.23</v>
      </c>
      <c r="I44" s="19">
        <v>692.4</v>
      </c>
    </row>
    <row r="45" spans="1:9" ht="15.75" x14ac:dyDescent="0.25">
      <c r="A45" s="4" t="s">
        <v>75</v>
      </c>
      <c r="B45" s="4" t="s">
        <v>32</v>
      </c>
      <c r="C45" s="19">
        <v>9335.4</v>
      </c>
      <c r="D45" s="19">
        <v>-13.43</v>
      </c>
      <c r="E45" s="19">
        <v>9294.17</v>
      </c>
      <c r="F45" s="19">
        <v>0</v>
      </c>
      <c r="G45" s="19">
        <v>9294.17</v>
      </c>
      <c r="H45" s="19">
        <v>41.23</v>
      </c>
      <c r="I45" s="19">
        <v>705.83</v>
      </c>
    </row>
    <row r="46" spans="1:9" ht="15.75" x14ac:dyDescent="0.25">
      <c r="A46" s="4" t="s">
        <v>76</v>
      </c>
      <c r="B46" s="4" t="s">
        <v>32</v>
      </c>
      <c r="C46" s="19">
        <v>9456.23</v>
      </c>
      <c r="D46" s="19">
        <v>120.83</v>
      </c>
      <c r="E46" s="19">
        <v>9415</v>
      </c>
      <c r="F46" s="19">
        <v>0</v>
      </c>
      <c r="G46" s="19">
        <v>9415</v>
      </c>
      <c r="H46" s="19">
        <v>41.23</v>
      </c>
      <c r="I46" s="19">
        <v>585</v>
      </c>
    </row>
    <row r="47" spans="1:9" ht="15.75" x14ac:dyDescent="0.25">
      <c r="A47" s="4" t="s">
        <v>77</v>
      </c>
      <c r="B47" s="4" t="s">
        <v>32</v>
      </c>
      <c r="C47" s="19">
        <v>9584.2199999999993</v>
      </c>
      <c r="D47" s="19">
        <v>127.99</v>
      </c>
      <c r="E47" s="19">
        <v>9542.99</v>
      </c>
      <c r="F47" s="19">
        <v>0</v>
      </c>
      <c r="G47" s="19">
        <v>9542.99</v>
      </c>
      <c r="H47" s="19">
        <v>41.23</v>
      </c>
      <c r="I47" s="19">
        <v>457.01</v>
      </c>
    </row>
    <row r="48" spans="1:9" ht="15.75" x14ac:dyDescent="0.25">
      <c r="A48" s="4" t="s">
        <v>78</v>
      </c>
      <c r="B48" s="4" t="s">
        <v>32</v>
      </c>
      <c r="C48" s="19">
        <v>9662.83</v>
      </c>
      <c r="D48" s="19">
        <v>78.61</v>
      </c>
      <c r="E48" s="19">
        <v>9621.6</v>
      </c>
      <c r="F48" s="19">
        <v>0</v>
      </c>
      <c r="G48" s="19">
        <v>9621.6</v>
      </c>
      <c r="H48" s="19">
        <v>41.23</v>
      </c>
      <c r="I48" s="19">
        <v>378.4</v>
      </c>
    </row>
    <row r="49" spans="1:9" ht="15.75" x14ac:dyDescent="0.25">
      <c r="A49" s="4" t="s">
        <v>79</v>
      </c>
      <c r="B49" s="4" t="s">
        <v>32</v>
      </c>
      <c r="C49" s="19">
        <v>9998.75</v>
      </c>
      <c r="D49" s="19">
        <v>335.92</v>
      </c>
      <c r="E49" s="19">
        <v>9957.52</v>
      </c>
      <c r="F49" s="19">
        <v>0</v>
      </c>
      <c r="G49" s="19">
        <v>9957.52</v>
      </c>
      <c r="H49" s="19">
        <v>41.23</v>
      </c>
      <c r="I49" s="19">
        <v>42.48</v>
      </c>
    </row>
    <row r="50" spans="1:9" ht="15.75" x14ac:dyDescent="0.25">
      <c r="A50" s="4" t="s">
        <v>80</v>
      </c>
      <c r="B50" s="4" t="s">
        <v>32</v>
      </c>
      <c r="C50" s="19">
        <v>9893.9</v>
      </c>
      <c r="D50" s="19">
        <v>-104.85</v>
      </c>
      <c r="E50" s="19">
        <v>9852.67</v>
      </c>
      <c r="F50" s="19">
        <v>0</v>
      </c>
      <c r="G50" s="19">
        <v>9852.67</v>
      </c>
      <c r="H50" s="19">
        <v>41.23</v>
      </c>
      <c r="I50" s="19">
        <v>147.33000000000001</v>
      </c>
    </row>
    <row r="51" spans="1:9" ht="15.75" x14ac:dyDescent="0.25">
      <c r="A51" s="4" t="s">
        <v>81</v>
      </c>
      <c r="B51" s="4" t="s">
        <v>32</v>
      </c>
      <c r="C51" s="19">
        <v>9813.64</v>
      </c>
      <c r="D51" s="19">
        <v>-80.260000000000005</v>
      </c>
      <c r="E51" s="19">
        <v>9772.41</v>
      </c>
      <c r="F51" s="19">
        <v>0</v>
      </c>
      <c r="G51" s="19">
        <v>9772.41</v>
      </c>
      <c r="H51" s="19">
        <v>41.23</v>
      </c>
      <c r="I51" s="19">
        <v>227.59</v>
      </c>
    </row>
    <row r="52" spans="1:9" ht="15.75" x14ac:dyDescent="0.25">
      <c r="A52" s="4" t="s">
        <v>82</v>
      </c>
      <c r="B52" s="4" t="s">
        <v>32</v>
      </c>
      <c r="C52" s="19">
        <v>9859.5300000000007</v>
      </c>
      <c r="D52" s="19">
        <v>45.89</v>
      </c>
      <c r="E52" s="19">
        <v>9818.2999999999993</v>
      </c>
      <c r="F52" s="19">
        <v>0</v>
      </c>
      <c r="G52" s="19">
        <v>9818.2999999999993</v>
      </c>
      <c r="H52" s="19">
        <v>41.23</v>
      </c>
      <c r="I52" s="19">
        <v>181.7</v>
      </c>
    </row>
    <row r="53" spans="1:9" ht="15.75" x14ac:dyDescent="0.25">
      <c r="A53" s="4" t="s">
        <v>83</v>
      </c>
      <c r="B53" s="4" t="s">
        <v>32</v>
      </c>
      <c r="C53" s="19">
        <v>9793.8700000000008</v>
      </c>
      <c r="D53" s="19">
        <v>-65.66</v>
      </c>
      <c r="E53" s="19">
        <v>9752.64</v>
      </c>
      <c r="F53" s="19">
        <v>0</v>
      </c>
      <c r="G53" s="19">
        <v>9752.64</v>
      </c>
      <c r="H53" s="19">
        <v>41.23</v>
      </c>
      <c r="I53" s="19">
        <v>247.36</v>
      </c>
    </row>
    <row r="54" spans="1:9" ht="15.75" x14ac:dyDescent="0.25">
      <c r="A54" s="4" t="s">
        <v>84</v>
      </c>
      <c r="B54" s="4" t="s">
        <v>32</v>
      </c>
      <c r="C54" s="19">
        <v>9724.65</v>
      </c>
      <c r="D54" s="19">
        <v>-69.22</v>
      </c>
      <c r="E54" s="19">
        <v>9683.42</v>
      </c>
      <c r="F54" s="19">
        <v>0</v>
      </c>
      <c r="G54" s="19">
        <v>9683.42</v>
      </c>
      <c r="H54" s="19">
        <v>41.23</v>
      </c>
      <c r="I54" s="19">
        <v>316.58</v>
      </c>
    </row>
    <row r="55" spans="1:9" ht="15.75" x14ac:dyDescent="0.25">
      <c r="A55" s="4" t="s">
        <v>85</v>
      </c>
      <c r="B55" s="4" t="s">
        <v>32</v>
      </c>
      <c r="C55" s="19">
        <v>9691.3700000000008</v>
      </c>
      <c r="D55" s="19">
        <v>-33.28</v>
      </c>
      <c r="E55" s="19">
        <v>9650.14</v>
      </c>
      <c r="F55" s="19">
        <v>0</v>
      </c>
      <c r="G55" s="19">
        <v>9650.14</v>
      </c>
      <c r="H55" s="19">
        <v>41.23</v>
      </c>
      <c r="I55" s="19">
        <v>349.86</v>
      </c>
    </row>
    <row r="56" spans="1:9" ht="15.75" x14ac:dyDescent="0.25">
      <c r="A56" s="4" t="s">
        <v>86</v>
      </c>
      <c r="B56" s="4" t="s">
        <v>32</v>
      </c>
      <c r="C56" s="19">
        <v>9677.91</v>
      </c>
      <c r="D56" s="19">
        <v>-13.46</v>
      </c>
      <c r="E56" s="19">
        <v>9636.68</v>
      </c>
      <c r="F56" s="19">
        <v>0</v>
      </c>
      <c r="G56" s="19">
        <v>9636.68</v>
      </c>
      <c r="H56" s="19">
        <v>41.23</v>
      </c>
      <c r="I56" s="19">
        <v>363.32</v>
      </c>
    </row>
    <row r="57" spans="1:9" ht="15.75" x14ac:dyDescent="0.25">
      <c r="A57" s="4" t="s">
        <v>87</v>
      </c>
      <c r="B57" s="4" t="s">
        <v>32</v>
      </c>
      <c r="C57" s="19">
        <v>9684.94</v>
      </c>
      <c r="D57" s="19">
        <v>7.03</v>
      </c>
      <c r="E57" s="19">
        <v>9643.7099999999991</v>
      </c>
      <c r="F57" s="19">
        <v>0</v>
      </c>
      <c r="G57" s="19">
        <v>9643.7099999999991</v>
      </c>
      <c r="H57" s="19">
        <v>41.23</v>
      </c>
      <c r="I57" s="19">
        <v>356.29</v>
      </c>
    </row>
    <row r="58" spans="1:9" ht="15.75" x14ac:dyDescent="0.25">
      <c r="A58" s="4" t="s">
        <v>88</v>
      </c>
      <c r="B58" s="4" t="s">
        <v>32</v>
      </c>
      <c r="C58" s="19">
        <v>9592.0300000000007</v>
      </c>
      <c r="D58" s="19">
        <v>-92.91</v>
      </c>
      <c r="E58" s="19">
        <v>9550.7999999999993</v>
      </c>
      <c r="F58" s="19">
        <v>0</v>
      </c>
      <c r="G58" s="19">
        <v>9550.7999999999993</v>
      </c>
      <c r="H58" s="19">
        <v>41.23</v>
      </c>
      <c r="I58" s="19">
        <v>449.2</v>
      </c>
    </row>
    <row r="59" spans="1:9" ht="15.75" x14ac:dyDescent="0.25">
      <c r="A59" s="4" t="s">
        <v>89</v>
      </c>
      <c r="B59" s="4" t="s">
        <v>32</v>
      </c>
      <c r="C59" s="19">
        <v>9518.85</v>
      </c>
      <c r="D59" s="19">
        <v>-73.180000000000007</v>
      </c>
      <c r="E59" s="19">
        <v>9477.6200000000008</v>
      </c>
      <c r="F59" s="19">
        <v>0</v>
      </c>
      <c r="G59" s="19">
        <v>9477.6200000000008</v>
      </c>
      <c r="H59" s="19">
        <v>41.23</v>
      </c>
      <c r="I59" s="19">
        <v>522.38</v>
      </c>
    </row>
    <row r="60" spans="1:9" ht="15.75" x14ac:dyDescent="0.25">
      <c r="A60" s="4" t="s">
        <v>90</v>
      </c>
      <c r="B60" s="4" t="s">
        <v>32</v>
      </c>
      <c r="C60" s="19">
        <v>10154.5</v>
      </c>
      <c r="D60" s="19">
        <v>635.65</v>
      </c>
      <c r="E60" s="19">
        <v>10113.27</v>
      </c>
      <c r="F60" s="19">
        <v>113.27</v>
      </c>
      <c r="G60" s="19">
        <v>10000</v>
      </c>
      <c r="H60" s="19">
        <v>154.5</v>
      </c>
      <c r="I60" s="19">
        <v>0</v>
      </c>
    </row>
    <row r="61" spans="1:9" ht="15.75" x14ac:dyDescent="0.25">
      <c r="A61" s="4" t="s">
        <v>91</v>
      </c>
      <c r="B61" s="4" t="s">
        <v>32</v>
      </c>
      <c r="C61" s="19">
        <v>10032.02</v>
      </c>
      <c r="D61" s="19">
        <v>-122.48</v>
      </c>
      <c r="E61" s="19">
        <v>9877.52</v>
      </c>
      <c r="F61" s="19">
        <v>0</v>
      </c>
      <c r="G61" s="19">
        <v>9877.52</v>
      </c>
      <c r="H61" s="19">
        <v>154.5</v>
      </c>
      <c r="I61" s="19">
        <v>122.48</v>
      </c>
    </row>
    <row r="62" spans="1:9" ht="15.75" x14ac:dyDescent="0.25">
      <c r="A62" s="4" t="s">
        <v>92</v>
      </c>
      <c r="B62" s="4" t="s">
        <v>32</v>
      </c>
      <c r="C62" s="19">
        <v>10080.69</v>
      </c>
      <c r="D62" s="19">
        <v>48.67</v>
      </c>
      <c r="E62" s="19">
        <v>9926.19</v>
      </c>
      <c r="F62" s="19">
        <v>0</v>
      </c>
      <c r="G62" s="19">
        <v>9926.19</v>
      </c>
      <c r="H62" s="19">
        <v>154.5</v>
      </c>
      <c r="I62" s="19">
        <v>73.81</v>
      </c>
    </row>
    <row r="63" spans="1:9" ht="15.75" x14ac:dyDescent="0.25">
      <c r="A63" s="4" t="s">
        <v>93</v>
      </c>
      <c r="B63" s="4" t="s">
        <v>32</v>
      </c>
      <c r="C63" s="19">
        <v>10180.219999999999</v>
      </c>
      <c r="D63" s="19">
        <v>99.53</v>
      </c>
      <c r="E63" s="19">
        <v>10025.719999999999</v>
      </c>
      <c r="F63" s="19">
        <v>25.72</v>
      </c>
      <c r="G63" s="19">
        <v>10000</v>
      </c>
      <c r="H63" s="19">
        <v>180.22</v>
      </c>
      <c r="I63" s="19">
        <v>0</v>
      </c>
    </row>
    <row r="64" spans="1:9" ht="15.75" x14ac:dyDescent="0.25">
      <c r="A64" s="4" t="s">
        <v>94</v>
      </c>
      <c r="B64" s="4" t="s">
        <v>32</v>
      </c>
      <c r="C64" s="19">
        <v>10058.42</v>
      </c>
      <c r="D64" s="19">
        <v>-121.8</v>
      </c>
      <c r="E64" s="19">
        <v>9878.2000000000007</v>
      </c>
      <c r="F64" s="19">
        <v>0</v>
      </c>
      <c r="G64" s="19">
        <v>9878.2000000000007</v>
      </c>
      <c r="H64" s="19">
        <v>180.22</v>
      </c>
      <c r="I64" s="19">
        <v>121.8</v>
      </c>
    </row>
    <row r="65" spans="1:9" ht="15.75" x14ac:dyDescent="0.25">
      <c r="A65" s="4" t="s">
        <v>95</v>
      </c>
      <c r="B65" s="4" t="s">
        <v>32</v>
      </c>
      <c r="C65" s="19">
        <v>10378.77</v>
      </c>
      <c r="D65" s="19">
        <v>320.35000000000002</v>
      </c>
      <c r="E65" s="19">
        <v>10198.549999999999</v>
      </c>
      <c r="F65" s="19">
        <v>198.55</v>
      </c>
      <c r="G65" s="19">
        <v>10000</v>
      </c>
      <c r="H65" s="19">
        <v>378.77</v>
      </c>
      <c r="I65" s="19">
        <v>0</v>
      </c>
    </row>
    <row r="66" spans="1:9" ht="15.75" x14ac:dyDescent="0.25">
      <c r="A66" s="4" t="s">
        <v>96</v>
      </c>
      <c r="B66" s="4" t="s">
        <v>32</v>
      </c>
      <c r="C66" s="19">
        <v>10735.65</v>
      </c>
      <c r="D66" s="19">
        <v>356.88</v>
      </c>
      <c r="E66" s="19">
        <v>10356.879999999999</v>
      </c>
      <c r="F66" s="19">
        <v>356.88</v>
      </c>
      <c r="G66" s="19">
        <v>10000</v>
      </c>
      <c r="H66" s="19">
        <v>735.65</v>
      </c>
      <c r="I66" s="19">
        <v>0</v>
      </c>
    </row>
    <row r="67" spans="1:9" ht="15.75" x14ac:dyDescent="0.25">
      <c r="A67" s="4" t="s">
        <v>97</v>
      </c>
      <c r="B67" s="4" t="s">
        <v>32</v>
      </c>
      <c r="C67" s="19">
        <v>10796.71</v>
      </c>
      <c r="D67" s="19">
        <v>61.06</v>
      </c>
      <c r="E67" s="19">
        <v>10061.06</v>
      </c>
      <c r="F67" s="19">
        <v>61.06</v>
      </c>
      <c r="G67" s="19">
        <v>10000</v>
      </c>
      <c r="H67" s="19">
        <v>796.71</v>
      </c>
      <c r="I67" s="19">
        <v>0</v>
      </c>
    </row>
    <row r="68" spans="1:9" ht="15.75" x14ac:dyDescent="0.25">
      <c r="A68" s="4" t="s">
        <v>98</v>
      </c>
      <c r="B68" s="4" t="s">
        <v>32</v>
      </c>
      <c r="C68" s="19">
        <v>10837.86</v>
      </c>
      <c r="D68" s="19">
        <v>41.15</v>
      </c>
      <c r="E68" s="19">
        <v>10041.15</v>
      </c>
      <c r="F68" s="19">
        <v>41.15</v>
      </c>
      <c r="G68" s="19">
        <v>10000</v>
      </c>
      <c r="H68" s="19">
        <v>837.86</v>
      </c>
      <c r="I68" s="19">
        <v>0</v>
      </c>
    </row>
    <row r="69" spans="1:9" ht="15.75" x14ac:dyDescent="0.25">
      <c r="A69" s="4" t="s">
        <v>99</v>
      </c>
      <c r="B69" s="4" t="s">
        <v>32</v>
      </c>
      <c r="C69" s="19">
        <v>10700.3</v>
      </c>
      <c r="D69" s="19">
        <v>-137.56</v>
      </c>
      <c r="E69" s="19">
        <v>9862.44</v>
      </c>
      <c r="F69" s="19">
        <v>0</v>
      </c>
      <c r="G69" s="19">
        <v>9862.44</v>
      </c>
      <c r="H69" s="19">
        <v>837.86</v>
      </c>
      <c r="I69" s="19">
        <v>137.56</v>
      </c>
    </row>
    <row r="70" spans="1:9" ht="15.75" x14ac:dyDescent="0.25">
      <c r="A70" s="4" t="s">
        <v>100</v>
      </c>
      <c r="B70" s="4" t="s">
        <v>32</v>
      </c>
      <c r="C70" s="19">
        <v>10613.84</v>
      </c>
      <c r="D70" s="19">
        <v>-86.46</v>
      </c>
      <c r="E70" s="19">
        <v>9775.98</v>
      </c>
      <c r="F70" s="19">
        <v>0</v>
      </c>
      <c r="G70" s="19">
        <v>9775.98</v>
      </c>
      <c r="H70" s="19">
        <v>837.86</v>
      </c>
      <c r="I70" s="19">
        <v>224.02</v>
      </c>
    </row>
    <row r="71" spans="1:9" ht="15.75" x14ac:dyDescent="0.25">
      <c r="A71" s="4" t="s">
        <v>101</v>
      </c>
      <c r="B71" s="4" t="s">
        <v>32</v>
      </c>
      <c r="C71" s="19">
        <v>11374</v>
      </c>
      <c r="D71" s="19">
        <v>760.16</v>
      </c>
      <c r="E71" s="19">
        <v>10536.14</v>
      </c>
      <c r="F71" s="19">
        <v>536.14</v>
      </c>
      <c r="G71" s="19">
        <v>10000</v>
      </c>
      <c r="H71" s="19">
        <v>1374</v>
      </c>
      <c r="I71" s="19">
        <v>0</v>
      </c>
    </row>
    <row r="72" spans="1:9" ht="15.75" x14ac:dyDescent="0.25">
      <c r="A72" s="4" t="s">
        <v>102</v>
      </c>
      <c r="B72" s="4" t="s">
        <v>32</v>
      </c>
      <c r="C72" s="19">
        <v>11132.34</v>
      </c>
      <c r="D72" s="19">
        <v>-241.66</v>
      </c>
      <c r="E72" s="19">
        <v>9758.34</v>
      </c>
      <c r="F72" s="19">
        <v>0</v>
      </c>
      <c r="G72" s="19">
        <v>9758.34</v>
      </c>
      <c r="H72" s="19">
        <v>1374</v>
      </c>
      <c r="I72" s="19">
        <v>241.66</v>
      </c>
    </row>
    <row r="73" spans="1:9" ht="15.75" x14ac:dyDescent="0.25">
      <c r="A73" s="4" t="s">
        <v>103</v>
      </c>
      <c r="B73" s="4" t="s">
        <v>32</v>
      </c>
      <c r="C73" s="19">
        <v>11299.95</v>
      </c>
      <c r="D73" s="19">
        <v>167.61</v>
      </c>
      <c r="E73" s="19">
        <v>9925.9500000000007</v>
      </c>
      <c r="F73" s="19">
        <v>0</v>
      </c>
      <c r="G73" s="19">
        <v>9925.9500000000007</v>
      </c>
      <c r="H73" s="19">
        <v>1374</v>
      </c>
      <c r="I73" s="19">
        <v>74.05</v>
      </c>
    </row>
    <row r="74" spans="1:9" ht="15.75" x14ac:dyDescent="0.25">
      <c r="A74" s="4" t="s">
        <v>104</v>
      </c>
      <c r="B74" s="4" t="s">
        <v>32</v>
      </c>
      <c r="C74" s="19">
        <v>12947.63</v>
      </c>
      <c r="D74" s="19">
        <v>1647.68</v>
      </c>
      <c r="E74" s="19">
        <v>11573.63</v>
      </c>
      <c r="F74" s="19">
        <v>1573.63</v>
      </c>
      <c r="G74" s="19">
        <v>10000</v>
      </c>
      <c r="H74" s="19">
        <v>2947.63</v>
      </c>
      <c r="I74" s="19">
        <v>0</v>
      </c>
    </row>
    <row r="75" spans="1:9" ht="15.75" x14ac:dyDescent="0.25">
      <c r="A75" s="4" t="s">
        <v>105</v>
      </c>
      <c r="B75" s="4" t="s">
        <v>32</v>
      </c>
      <c r="C75" s="19">
        <v>13226.04</v>
      </c>
      <c r="D75" s="19">
        <v>278.41000000000003</v>
      </c>
      <c r="E75" s="19">
        <v>10278.41</v>
      </c>
      <c r="F75" s="19">
        <v>278.41000000000003</v>
      </c>
      <c r="G75" s="19">
        <v>10000</v>
      </c>
      <c r="H75" s="19">
        <v>3226.04</v>
      </c>
      <c r="I75" s="19">
        <v>0</v>
      </c>
    </row>
    <row r="76" spans="1:9" ht="15.75" x14ac:dyDescent="0.25">
      <c r="A76" s="4" t="s">
        <v>106</v>
      </c>
      <c r="B76" s="4" t="s">
        <v>32</v>
      </c>
      <c r="C76" s="19">
        <v>14819.89</v>
      </c>
      <c r="D76" s="19">
        <v>1593.85</v>
      </c>
      <c r="E76" s="19">
        <v>11593.85</v>
      </c>
      <c r="F76" s="19">
        <v>1593.85</v>
      </c>
      <c r="G76" s="19">
        <v>10000</v>
      </c>
      <c r="H76" s="19">
        <v>4819.8900000000003</v>
      </c>
      <c r="I76" s="19">
        <v>0</v>
      </c>
    </row>
    <row r="77" spans="1:9" ht="15.75" x14ac:dyDescent="0.25">
      <c r="A77" s="4" t="s">
        <v>107</v>
      </c>
      <c r="B77" s="4" t="s">
        <v>32</v>
      </c>
      <c r="C77" s="19">
        <v>14900.32</v>
      </c>
      <c r="D77" s="19">
        <v>80.430000000000007</v>
      </c>
      <c r="E77" s="19">
        <v>10080.43</v>
      </c>
      <c r="F77" s="19">
        <v>80.430000000000007</v>
      </c>
      <c r="G77" s="19">
        <v>10000</v>
      </c>
      <c r="H77" s="19">
        <v>4900.32</v>
      </c>
      <c r="I77" s="19">
        <v>0</v>
      </c>
    </row>
    <row r="78" spans="1:9" ht="15.75" x14ac:dyDescent="0.25">
      <c r="A78" s="4" t="s">
        <v>108</v>
      </c>
      <c r="B78" s="4" t="s">
        <v>32</v>
      </c>
      <c r="C78" s="19">
        <v>14796.06</v>
      </c>
      <c r="D78" s="19">
        <v>-104.26</v>
      </c>
      <c r="E78" s="19">
        <v>9895.74</v>
      </c>
      <c r="F78" s="19">
        <v>0</v>
      </c>
      <c r="G78" s="19">
        <v>9895.74</v>
      </c>
      <c r="H78" s="19">
        <v>4900.32</v>
      </c>
      <c r="I78" s="19">
        <v>104.26</v>
      </c>
    </row>
    <row r="79" spans="1:9" ht="15.75" x14ac:dyDescent="0.25">
      <c r="A79" s="4" t="s">
        <v>109</v>
      </c>
      <c r="B79" s="4" t="s">
        <v>32</v>
      </c>
      <c r="C79" s="19">
        <v>14639</v>
      </c>
      <c r="D79" s="19">
        <v>-157.06</v>
      </c>
      <c r="E79" s="19">
        <v>9738.68</v>
      </c>
      <c r="F79" s="19">
        <v>0</v>
      </c>
      <c r="G79" s="19">
        <v>9738.68</v>
      </c>
      <c r="H79" s="19">
        <v>4900.32</v>
      </c>
      <c r="I79" s="19">
        <v>261.32</v>
      </c>
    </row>
    <row r="80" spans="1:9" ht="15.75" x14ac:dyDescent="0.25">
      <c r="A80" s="4" t="s">
        <v>110</v>
      </c>
      <c r="B80" s="4" t="s">
        <v>32</v>
      </c>
      <c r="C80" s="19">
        <v>14691.66</v>
      </c>
      <c r="D80" s="19">
        <v>52.66</v>
      </c>
      <c r="E80" s="19">
        <v>9791.34</v>
      </c>
      <c r="F80" s="19">
        <v>0</v>
      </c>
      <c r="G80" s="19">
        <v>9791.34</v>
      </c>
      <c r="H80" s="19">
        <v>4900.32</v>
      </c>
      <c r="I80" s="19">
        <v>208.66</v>
      </c>
    </row>
    <row r="81" spans="1:9" ht="15.75" x14ac:dyDescent="0.25">
      <c r="A81" s="4" t="s">
        <v>111</v>
      </c>
      <c r="B81" s="4" t="s">
        <v>19</v>
      </c>
      <c r="C81" s="21">
        <v>14618</v>
      </c>
      <c r="D81" s="21">
        <v>-73.66</v>
      </c>
      <c r="E81" s="21">
        <v>9717.68</v>
      </c>
      <c r="F81" s="21">
        <v>0</v>
      </c>
      <c r="G81" s="21">
        <v>9717.68</v>
      </c>
      <c r="H81" s="21">
        <v>4900.32</v>
      </c>
      <c r="I81" s="21">
        <v>282.32</v>
      </c>
    </row>
    <row r="82" spans="1:9" ht="15.75" x14ac:dyDescent="0.25">
      <c r="A82" s="4"/>
      <c r="B82" s="4"/>
      <c r="C82" s="17"/>
      <c r="D82" s="17"/>
      <c r="E82" s="17"/>
      <c r="F82" s="17"/>
      <c r="G82" s="17"/>
      <c r="H82" s="17"/>
      <c r="I82" s="17">
        <f>SUBTOTAL(109,MonthlyData[Deficit below 10k])</f>
        <v>17980.060000000001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/>
  </sheetViews>
  <sheetFormatPr defaultRowHeight="15" x14ac:dyDescent="0.25"/>
  <cols>
    <col min="1" max="1" width="11.625" customWidth="1"/>
    <col min="2" max="2" width="17.5" customWidth="1"/>
    <col min="3" max="4" width="19.125" customWidth="1"/>
    <col min="5" max="5" width="19.5" customWidth="1"/>
  </cols>
  <sheetData>
    <row r="1" spans="1:5" ht="27.95" customHeight="1" thickBot="1" x14ac:dyDescent="0.3">
      <c r="A1" s="25" t="s">
        <v>112</v>
      </c>
      <c r="B1" s="25" t="s">
        <v>113</v>
      </c>
      <c r="C1" s="25" t="s">
        <v>25</v>
      </c>
      <c r="D1" s="25" t="s">
        <v>114</v>
      </c>
      <c r="E1" s="25" t="s">
        <v>115</v>
      </c>
    </row>
    <row r="2" spans="1:5" ht="16.5" thickTop="1" x14ac:dyDescent="0.25">
      <c r="A2" s="33">
        <v>2020</v>
      </c>
      <c r="B2" s="33">
        <v>12</v>
      </c>
      <c r="C2" s="22">
        <v>-38.630000000000003</v>
      </c>
      <c r="D2" s="22">
        <v>41.23</v>
      </c>
      <c r="E2" s="33">
        <v>1</v>
      </c>
    </row>
    <row r="3" spans="1:5" ht="15.75" x14ac:dyDescent="0.25">
      <c r="A3" s="34">
        <v>2021</v>
      </c>
      <c r="B3" s="34">
        <v>12</v>
      </c>
      <c r="C3" s="23">
        <v>-213.93</v>
      </c>
      <c r="D3" s="23">
        <v>0</v>
      </c>
      <c r="E3" s="34">
        <v>0</v>
      </c>
    </row>
    <row r="4" spans="1:5" ht="15.75" x14ac:dyDescent="0.25">
      <c r="A4" s="34">
        <v>2022</v>
      </c>
      <c r="B4" s="34">
        <v>12</v>
      </c>
      <c r="C4" s="23">
        <v>-57.42</v>
      </c>
      <c r="D4" s="23">
        <v>0</v>
      </c>
      <c r="E4" s="34">
        <v>0</v>
      </c>
    </row>
    <row r="5" spans="1:5" ht="15.75" x14ac:dyDescent="0.25">
      <c r="A5" s="34">
        <v>2023</v>
      </c>
      <c r="B5" s="34">
        <v>12</v>
      </c>
      <c r="C5" s="23">
        <v>308.73</v>
      </c>
      <c r="D5" s="23">
        <v>0</v>
      </c>
      <c r="E5" s="34">
        <v>0</v>
      </c>
    </row>
    <row r="6" spans="1:5" ht="15.75" x14ac:dyDescent="0.25">
      <c r="A6" s="34">
        <v>2024</v>
      </c>
      <c r="B6" s="34">
        <v>12</v>
      </c>
      <c r="C6" s="23">
        <v>33.270000000000003</v>
      </c>
      <c r="D6" s="23">
        <v>113.27</v>
      </c>
      <c r="E6" s="34">
        <v>1</v>
      </c>
    </row>
    <row r="7" spans="1:5" ht="15.75" x14ac:dyDescent="0.25">
      <c r="A7" s="34">
        <v>2025</v>
      </c>
      <c r="B7" s="34">
        <v>12</v>
      </c>
      <c r="C7" s="23">
        <v>1267.93</v>
      </c>
      <c r="D7" s="23">
        <v>1219.5</v>
      </c>
      <c r="E7" s="34">
        <v>6</v>
      </c>
    </row>
    <row r="8" spans="1:5" ht="15.75" x14ac:dyDescent="0.25">
      <c r="A8" s="35">
        <v>2026</v>
      </c>
      <c r="B8" s="35">
        <v>8</v>
      </c>
      <c r="C8" s="24">
        <v>3318.05</v>
      </c>
      <c r="D8" s="24">
        <v>3526.32</v>
      </c>
      <c r="E8" s="35">
        <v>4</v>
      </c>
    </row>
    <row r="9" spans="1:5" ht="15.75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workbookViewId="0"/>
  </sheetViews>
  <sheetFormatPr defaultRowHeight="15" x14ac:dyDescent="0.25"/>
  <cols>
    <col min="1" max="1" width="24.125" customWidth="1"/>
    <col min="2" max="2" width="83.375" customWidth="1"/>
  </cols>
  <sheetData>
    <row r="1" spans="1:2" ht="27.95" customHeight="1" thickBot="1" x14ac:dyDescent="0.3">
      <c r="A1" s="29" t="s">
        <v>116</v>
      </c>
      <c r="B1" s="8" t="s">
        <v>117</v>
      </c>
    </row>
    <row r="2" spans="1:2" ht="42" customHeight="1" thickTop="1" x14ac:dyDescent="0.25">
      <c r="A2" s="26" t="s">
        <v>118</v>
      </c>
      <c r="B2" s="1" t="s">
        <v>119</v>
      </c>
    </row>
    <row r="3" spans="1:2" ht="42" customHeight="1" x14ac:dyDescent="0.25">
      <c r="A3" s="27" t="s">
        <v>120</v>
      </c>
      <c r="B3" s="1" t="s">
        <v>121</v>
      </c>
    </row>
    <row r="4" spans="1:2" ht="42" customHeight="1" x14ac:dyDescent="0.25">
      <c r="A4" s="27" t="s">
        <v>122</v>
      </c>
      <c r="B4" s="1" t="s">
        <v>123</v>
      </c>
    </row>
    <row r="5" spans="1:2" ht="42" customHeight="1" x14ac:dyDescent="0.25">
      <c r="A5" s="27" t="s">
        <v>124</v>
      </c>
      <c r="B5" s="1" t="s">
        <v>125</v>
      </c>
    </row>
    <row r="6" spans="1:2" ht="42" customHeight="1" x14ac:dyDescent="0.25">
      <c r="A6" s="27" t="s">
        <v>126</v>
      </c>
      <c r="B6" s="1" t="s">
        <v>127</v>
      </c>
    </row>
    <row r="7" spans="1:2" ht="42" customHeight="1" x14ac:dyDescent="0.25">
      <c r="A7" s="28" t="s">
        <v>128</v>
      </c>
      <c r="B7" s="1" t="s">
        <v>129</v>
      </c>
    </row>
    <row r="8" spans="1:2" ht="15.75" x14ac:dyDescent="0.25"/>
  </sheetData>
  <autoFilter ref="A1:B7" xr:uid="{00000000-0009-0000-0000-000003000000}"/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Monthly</vt:lpstr>
      <vt:lpstr>Yearly</vt:lpstr>
      <vt:lpstr>Rules_And_Limits</vt:lpstr>
      <vt:lpstr>Monthly!_FilterDatabase</vt:lpstr>
      <vt:lpstr>Rules_And_Limits!_FilterDatabase</vt:lpstr>
      <vt:lpstr>Summary!_FilterDatabase</vt:lpstr>
      <vt:lpstr>Yearly!_FilterDatabase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x1 Monthly Withdrawal Simulation</dc:title>
  <dc:creator>Codex</dc:creator>
  <cp:lastModifiedBy>Gereltod batsukh</cp:lastModifiedBy>
  <dcterms:created xsi:type="dcterms:W3CDTF">2026-08-17T09:20:27Z</dcterms:created>
  <dcterms:modified xsi:type="dcterms:W3CDTF">2026-08-17T09:36:25Z</dcterms:modified>
</cp:coreProperties>
</file>